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io\Desktop\hackathon_word_excel\public\data\exercices\excel\01\"/>
    </mc:Choice>
  </mc:AlternateContent>
  <xr:revisionPtr revIDLastSave="0" documentId="13_ncr:1_{F680AB5A-FE9C-4E5B-AF02-15E0CE8B58A2}" xr6:coauthVersionLast="47" xr6:coauthVersionMax="47" xr10:uidLastSave="{00000000-0000-0000-0000-000000000000}"/>
  <bookViews>
    <workbookView xWindow="8850" yWindow="2355" windowWidth="22140" windowHeight="17055" xr2:uid="{00000000-000D-0000-FFFF-FFFF00000000}"/>
  </bookViews>
  <sheets>
    <sheet name="exercices_1" sheetId="2" r:id="rId1"/>
    <sheet name="Feuil1" sheetId="1" r:id="rId2"/>
  </sheets>
  <definedNames>
    <definedName name="DonnéesExternes_1" localSheetId="0" hidden="1">exercices_1!$A$1:$E$8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G9" i="2"/>
  <c r="F2" i="2"/>
  <c r="G2" i="2" s="1"/>
  <c r="F3" i="2"/>
  <c r="G3" i="2" s="1"/>
  <c r="F4" i="2"/>
  <c r="G4" i="2" s="1"/>
  <c r="F5" i="2"/>
  <c r="G5" i="2" s="1"/>
  <c r="F6" i="2"/>
  <c r="F7" i="2"/>
  <c r="G7" i="2" s="1"/>
  <c r="F8" i="2"/>
  <c r="G8" i="2" s="1"/>
  <c r="C9" i="2"/>
  <c r="D9" i="2"/>
  <c r="E9" i="2"/>
  <c r="B9" i="2"/>
  <c r="G6" i="2" l="1"/>
  <c r="F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7BAD9-4C35-4436-A220-78034A5CACD1}" keepAlive="1" name="Requête - exercices_1" description="Connexion à la requête « exercices_1 » dans le classeur." type="5" refreshedVersion="8" background="1" saveData="1">
    <dbPr connection="Provider=Microsoft.Mashup.OleDb.1;Data Source=$Workbook$;Location=exercices_1;Extended Properties=&quot;&quot;" command="SELECT * FROM [exercices_1]"/>
  </connection>
</connections>
</file>

<file path=xl/sharedStrings.xml><?xml version="1.0" encoding="utf-8"?>
<sst xmlns="http://schemas.openxmlformats.org/spreadsheetml/2006/main" count="14" uniqueCount="14">
  <si>
    <t>Jour</t>
  </si>
  <si>
    <t>Medecine Generale</t>
  </si>
  <si>
    <t>Dentiste</t>
  </si>
  <si>
    <t>Kinesitherapie</t>
  </si>
  <si>
    <t>Ostheopathie</t>
  </si>
  <si>
    <t>Lundi</t>
  </si>
  <si>
    <t>Mardi</t>
  </si>
  <si>
    <t>Mercredi</t>
  </si>
  <si>
    <t>Jeudi</t>
  </si>
  <si>
    <t>Vendredi</t>
  </si>
  <si>
    <t>Samedi</t>
  </si>
  <si>
    <t>Dimanche</t>
  </si>
  <si>
    <t>Total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</si>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</sst>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5"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Médecine Générale</a:t>
            </a:r>
            <a:br>
              <a:rPr lang="en-US"/>
            </a:br>
            <a:r>
              <a:rPr lang="en-US"/>
              <a:t>Consultations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exercices_1!$B$1</c:f>
              <c:strCache>
                <c:ptCount val="1"/>
                <c:pt idx="0">
                  <c:v>Medecine Generale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2DF-42B8-9627-7B071ACE31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2DF-42B8-9627-7B071ACE31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2DF-42B8-9627-7B071ACE31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2DF-42B8-9627-7B071ACE31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2DF-42B8-9627-7B071ACE31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2DF-42B8-9627-7B071ACE31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2DF-42B8-9627-7B071ACE31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exercices_1!$A$2:$A$8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exercices_1!$B$2:$B$8</c:f>
              <c:numCache>
                <c:formatCode>General</c:formatCode>
                <c:ptCount val="7"/>
                <c:pt idx="0">
                  <c:v>24</c:v>
                </c:pt>
                <c:pt idx="1">
                  <c:v>22</c:v>
                </c:pt>
                <c:pt idx="2">
                  <c:v>18</c:v>
                </c:pt>
                <c:pt idx="3">
                  <c:v>26</c:v>
                </c:pt>
                <c:pt idx="4">
                  <c:v>20</c:v>
                </c:pt>
                <c:pt idx="5">
                  <c:v>12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5-4E89-8570-7BD321357D1A}"/>
            </c:ext>
          </c:extLst>
        </c:ser>
        <c:ser>
          <c:idx val="1"/>
          <c:order val="1"/>
          <c:tx>
            <c:strRef>
              <c:f>exercices_1!$C$1</c:f>
              <c:strCache>
                <c:ptCount val="1"/>
                <c:pt idx="0">
                  <c:v>Dentiste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2DF-42B8-9627-7B071ACE31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2DF-42B8-9627-7B071ACE31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2DF-42B8-9627-7B071ACE31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2DF-42B8-9627-7B071ACE31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2DF-42B8-9627-7B071ACE31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2DF-42B8-9627-7B071ACE31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2DF-42B8-9627-7B071ACE3156}"/>
              </c:ext>
            </c:extLst>
          </c:dPt>
          <c:cat>
            <c:strRef>
              <c:f>exercices_1!$A$2:$A$8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exercices_1!$C$2:$C$8</c:f>
              <c:numCache>
                <c:formatCode>General</c:formatCode>
                <c:ptCount val="7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16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5-4E89-8570-7BD321357D1A}"/>
            </c:ext>
          </c:extLst>
        </c:ser>
        <c:ser>
          <c:idx val="2"/>
          <c:order val="2"/>
          <c:tx>
            <c:strRef>
              <c:f>exercices_1!$D$1</c:f>
              <c:strCache>
                <c:ptCount val="1"/>
                <c:pt idx="0">
                  <c:v>Kinesitherapie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42DF-42B8-9627-7B071ACE31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42DF-42B8-9627-7B071ACE31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42DF-42B8-9627-7B071ACE31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42DF-42B8-9627-7B071ACE31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42DF-42B8-9627-7B071ACE31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42DF-42B8-9627-7B071ACE31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42DF-42B8-9627-7B071ACE3156}"/>
              </c:ext>
            </c:extLst>
          </c:dPt>
          <c:cat>
            <c:strRef>
              <c:f>exercices_1!$A$2:$A$8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exercices_1!$D$2:$D$8</c:f>
              <c:numCache>
                <c:formatCode>General</c:formatCode>
                <c:ptCount val="7"/>
                <c:pt idx="0">
                  <c:v>18</c:v>
                </c:pt>
                <c:pt idx="1">
                  <c:v>16</c:v>
                </c:pt>
                <c:pt idx="2">
                  <c:v>20</c:v>
                </c:pt>
                <c:pt idx="3">
                  <c:v>14</c:v>
                </c:pt>
                <c:pt idx="4">
                  <c:v>15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D5-4E89-8570-7BD321357D1A}"/>
            </c:ext>
          </c:extLst>
        </c:ser>
        <c:ser>
          <c:idx val="3"/>
          <c:order val="3"/>
          <c:tx>
            <c:strRef>
              <c:f>exercices_1!$E$1</c:f>
              <c:strCache>
                <c:ptCount val="1"/>
                <c:pt idx="0">
                  <c:v>Ostheopathie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42DF-42B8-9627-7B071ACE31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42DF-42B8-9627-7B071ACE31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42DF-42B8-9627-7B071ACE31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42DF-42B8-9627-7B071ACE31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42DF-42B8-9627-7B071ACE31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42DF-42B8-9627-7B071ACE31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42DF-42B8-9627-7B071ACE3156}"/>
              </c:ext>
            </c:extLst>
          </c:dPt>
          <c:cat>
            <c:strRef>
              <c:f>exercices_1!$A$2:$A$8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exercices_1!$E$2:$E$8</c:f>
              <c:numCache>
                <c:formatCode>General</c:formatCode>
                <c:ptCount val="7"/>
                <c:pt idx="0">
                  <c:v>8</c:v>
                </c:pt>
                <c:pt idx="1">
                  <c:v>6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D5-4E89-8570-7BD321357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fr-FR"/>
              <a:t>consultations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242774566473986E-2"/>
          <c:y val="0.14985316221380693"/>
          <c:w val="0.68898790830336964"/>
          <c:h val="0.72569186660244944"/>
        </c:manualLayout>
      </c:layout>
      <c:doughnutChart>
        <c:varyColors val="1"/>
        <c:ser>
          <c:idx val="0"/>
          <c:order val="0"/>
          <c:tx>
            <c:strRef>
              <c:f>exercices_1!$F$1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E1-44A1-9216-52E304E562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E1-44A1-9216-52E304E562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E1-44A1-9216-52E304E562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FE1-44A1-9216-52E304E562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FE1-44A1-9216-52E304E562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FE1-44A1-9216-52E304E562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FF-48D2-AA0D-53DC235915C4}"/>
              </c:ext>
            </c:extLst>
          </c:dPt>
          <c:dLbls>
            <c:dLbl>
              <c:idx val="6"/>
              <c:layout>
                <c:manualLayout>
                  <c:x val="3.3333333333333333E-2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FF-48D2-AA0D-53DC235915C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exercices_1!$A$2:$A$8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exercices_1!$F$2:$F$8</c:f>
              <c:numCache>
                <c:formatCode>General</c:formatCode>
                <c:ptCount val="7"/>
                <c:pt idx="0">
                  <c:v>65</c:v>
                </c:pt>
                <c:pt idx="1">
                  <c:v>58</c:v>
                </c:pt>
                <c:pt idx="2">
                  <c:v>60</c:v>
                </c:pt>
                <c:pt idx="3">
                  <c:v>63</c:v>
                </c:pt>
                <c:pt idx="4">
                  <c:v>54</c:v>
                </c:pt>
                <c:pt idx="5">
                  <c:v>24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F-48D2-AA0D-53DC235915C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Consultations par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exercices_1!$B$1</c:f>
              <c:strCache>
                <c:ptCount val="1"/>
                <c:pt idx="0">
                  <c:v>Medecine Generale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exercices_1!$B$2:$B$9</c:f>
              <c:numCache>
                <c:formatCode>General</c:formatCode>
                <c:ptCount val="7"/>
                <c:pt idx="0">
                  <c:v>24</c:v>
                </c:pt>
                <c:pt idx="1">
                  <c:v>22</c:v>
                </c:pt>
                <c:pt idx="2">
                  <c:v>18</c:v>
                </c:pt>
                <c:pt idx="3">
                  <c:v>26</c:v>
                </c:pt>
                <c:pt idx="4">
                  <c:v>20</c:v>
                </c:pt>
                <c:pt idx="5">
                  <c:v>12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4-4A92-9A56-034D884FA25D}"/>
            </c:ext>
          </c:extLst>
        </c:ser>
        <c:ser>
          <c:idx val="1"/>
          <c:order val="1"/>
          <c:tx>
            <c:strRef>
              <c:f>exercices_1!$C$1</c:f>
              <c:strCache>
                <c:ptCount val="1"/>
                <c:pt idx="0">
                  <c:v>Dentiste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exercices_1!$C$2:$C$9</c:f>
              <c:numCache>
                <c:formatCode>General</c:formatCode>
                <c:ptCount val="7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16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4-4A92-9A56-034D884FA25D}"/>
            </c:ext>
          </c:extLst>
        </c:ser>
        <c:ser>
          <c:idx val="2"/>
          <c:order val="2"/>
          <c:tx>
            <c:strRef>
              <c:f>exercices_1!$D$1</c:f>
              <c:strCache>
                <c:ptCount val="1"/>
                <c:pt idx="0">
                  <c:v>Kinesitherapie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exercices_1!$D$2:$D$9</c:f>
              <c:numCache>
                <c:formatCode>General</c:formatCode>
                <c:ptCount val="7"/>
                <c:pt idx="0">
                  <c:v>18</c:v>
                </c:pt>
                <c:pt idx="1">
                  <c:v>16</c:v>
                </c:pt>
                <c:pt idx="2">
                  <c:v>20</c:v>
                </c:pt>
                <c:pt idx="3">
                  <c:v>14</c:v>
                </c:pt>
                <c:pt idx="4">
                  <c:v>15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4-4A92-9A56-034D884FA25D}"/>
            </c:ext>
          </c:extLst>
        </c:ser>
        <c:ser>
          <c:idx val="3"/>
          <c:order val="3"/>
          <c:tx>
            <c:strRef>
              <c:f>exercices_1!$E$1</c:f>
              <c:strCache>
                <c:ptCount val="1"/>
                <c:pt idx="0">
                  <c:v>Ostheopathie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exercices_1!$E$2:$E$9</c:f>
              <c:numCache>
                <c:formatCode>General</c:formatCode>
                <c:ptCount val="7"/>
                <c:pt idx="0">
                  <c:v>8</c:v>
                </c:pt>
                <c:pt idx="1">
                  <c:v>6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44-4A92-9A56-034D884FA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672064"/>
        <c:axId val="210672544"/>
        <c:axId val="0"/>
      </c:bar3DChart>
      <c:catAx>
        <c:axId val="21067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672544"/>
        <c:crosses val="autoZero"/>
        <c:auto val="1"/>
        <c:lblAlgn val="ctr"/>
        <c:lblOffset val="100"/>
        <c:noMultiLvlLbl val="0"/>
      </c:catAx>
      <c:valAx>
        <c:axId val="2106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67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11</xdr:row>
      <xdr:rowOff>109537</xdr:rowOff>
    </xdr:from>
    <xdr:to>
      <xdr:col>6</xdr:col>
      <xdr:colOff>904874</xdr:colOff>
      <xdr:row>27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9F67A7-65C4-ABEB-7347-D60AE2A8D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11</xdr:row>
      <xdr:rowOff>119061</xdr:rowOff>
    </xdr:from>
    <xdr:to>
      <xdr:col>3</xdr:col>
      <xdr:colOff>552450</xdr:colOff>
      <xdr:row>28</xdr:row>
      <xdr:rowOff>9524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056719E-46A8-C4E4-729C-3096B609A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28</xdr:row>
      <xdr:rowOff>61911</xdr:rowOff>
    </xdr:from>
    <xdr:to>
      <xdr:col>6</xdr:col>
      <xdr:colOff>904875</xdr:colOff>
      <xdr:row>39</xdr:row>
      <xdr:rowOff>57150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99AEE47-3909-3F35-7B4A-8C9CAE08C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A70A897-F853-4F89-955C-596346F7F1FE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Jour" tableColumnId="1"/>
      <queryTableField id="2" name="Medecine Generale" tableColumnId="2"/>
      <queryTableField id="3" name="Dentiste" tableColumnId="3"/>
      <queryTableField id="4" name="Kinesitherapie" tableColumnId="4"/>
      <queryTableField id="5" name="Ostheopathie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D3ACA-1E42-48DB-9E54-65E176FEB630}" name="exercices_1" displayName="exercices_1" ref="A1:G9" tableType="queryTable" totalsRowCount="1">
  <autoFilter ref="A1:G8" xr:uid="{FB3D3ACA-1E42-48DB-9E54-65E176FEB630}"/>
  <tableColumns count="7">
    <tableColumn id="1" xr3:uid="{DD4B4210-B92F-4A32-B2DB-D0C202FC6ED4}" uniqueName="1" name="Jour" queryTableFieldId="1" dataDxfId="4" totalsRowDxfId="3"/>
    <tableColumn id="2" xr3:uid="{E5658797-F3C3-4B1E-BF6A-CFC071909ED4}" uniqueName="2" name="Medecine Generale" totalsRowFunction="sum" queryTableFieldId="2"/>
    <tableColumn id="3" xr3:uid="{41C21DA1-22B6-40F4-8775-D9B0272BBA4B}" uniqueName="3" name="Dentiste" totalsRowFunction="sum" queryTableFieldId="3"/>
    <tableColumn id="4" xr3:uid="{95FFA222-2D9D-4734-82A8-5E80FA52A4A5}" uniqueName="4" name="Kinesitherapie" totalsRowFunction="sum" queryTableFieldId="4"/>
    <tableColumn id="5" xr3:uid="{B7EAC37C-9463-45DF-9BE3-9B5F7321B8B0}" uniqueName="5" name="Ostheopathie" totalsRowFunction="sum" queryTableFieldId="5"/>
    <tableColumn id="6" xr3:uid="{C7B8CD4A-CE4D-4AD1-AE8C-52AB8B332E62}" uniqueName="6" name="Total" totalsRowFunction="custom" queryTableFieldId="6" dataDxfId="2">
      <calculatedColumnFormula>SUM(exercices_1[[#This Row],[Medecine Generale]:[Ostheopathie]])</calculatedColumnFormula>
      <totalsRowFormula>SUM(exercices_1[[#Totals],[Medecine Generale]:[Ostheopathie]])</totalsRowFormula>
    </tableColumn>
    <tableColumn id="7" xr3:uid="{95FF785D-2FDC-4790-B4C4-4C6D4DA7DD96}" uniqueName="7" name="Moyenne" totalsRowFunction="custom" queryTableFieldId="7" dataDxfId="1" totalsRowDxfId="0">
      <calculatedColumnFormula>AVERAGE(exercices_1[[#This Row],[Medecine Generale]:[Total]])</calculatedColumnFormula>
      <totalsRowFormula>AVERAGE(exercices_1[Moyenne])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6CDF-AE03-4324-8362-4F15EF703959}">
  <dimension ref="A1:H36"/>
  <sheetViews>
    <sheetView tabSelected="1" workbookViewId="0">
      <selection activeCell="J15" sqref="J15"/>
    </sheetView>
  </sheetViews>
  <sheetFormatPr baseColWidth="10" defaultRowHeight="15" x14ac:dyDescent="0.25"/>
  <cols>
    <col min="1" max="1" width="9.85546875" bestFit="1" customWidth="1"/>
    <col min="2" max="2" width="21.140625" bestFit="1" customWidth="1"/>
    <col min="3" max="3" width="10.85546875" bestFit="1" customWidth="1"/>
    <col min="4" max="4" width="16.28515625" bestFit="1" customWidth="1"/>
    <col min="5" max="5" width="15.42578125" bestFit="1" customWidth="1"/>
    <col min="6" max="6" width="15.42578125" customWidth="1"/>
    <col min="7" max="7" width="1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12</v>
      </c>
      <c r="G1" t="s">
        <v>13</v>
      </c>
      <c r="H1" s="3"/>
    </row>
    <row r="2" spans="1:8" x14ac:dyDescent="0.25">
      <c r="A2" t="s">
        <v>5</v>
      </c>
      <c r="B2">
        <v>24</v>
      </c>
      <c r="C2">
        <v>15</v>
      </c>
      <c r="D2">
        <v>18</v>
      </c>
      <c r="E2">
        <v>8</v>
      </c>
      <c r="F2" s="1">
        <f>SUM(exercices_1[[#This Row],[Medecine Generale]:[Ostheopathie]])</f>
        <v>65</v>
      </c>
      <c r="G2" s="1">
        <f>AVERAGE(exercices_1[[#This Row],[Medecine Generale]:[Total]])</f>
        <v>26</v>
      </c>
      <c r="H2" s="3"/>
    </row>
    <row r="3" spans="1:8" x14ac:dyDescent="0.25">
      <c r="A3" t="s">
        <v>6</v>
      </c>
      <c r="B3">
        <v>22</v>
      </c>
      <c r="C3">
        <v>14</v>
      </c>
      <c r="D3">
        <v>16</v>
      </c>
      <c r="E3">
        <v>6</v>
      </c>
      <c r="F3" s="1">
        <f>SUM(exercices_1[[#This Row],[Medecine Generale]:[Ostheopathie]])</f>
        <v>58</v>
      </c>
      <c r="G3" s="1">
        <f>AVERAGE(exercices_1[[#This Row],[Medecine Generale]:[Total]])</f>
        <v>23.2</v>
      </c>
      <c r="H3" s="3"/>
    </row>
    <row r="4" spans="1:8" x14ac:dyDescent="0.25">
      <c r="A4" t="s">
        <v>7</v>
      </c>
      <c r="B4">
        <v>18</v>
      </c>
      <c r="C4">
        <v>12</v>
      </c>
      <c r="D4">
        <v>20</v>
      </c>
      <c r="E4">
        <v>10</v>
      </c>
      <c r="F4" s="1">
        <f>SUM(exercices_1[[#This Row],[Medecine Generale]:[Ostheopathie]])</f>
        <v>60</v>
      </c>
      <c r="G4" s="1">
        <f>AVERAGE(exercices_1[[#This Row],[Medecine Generale]:[Total]])</f>
        <v>24</v>
      </c>
      <c r="H4" s="3"/>
    </row>
    <row r="5" spans="1:8" x14ac:dyDescent="0.25">
      <c r="A5" t="s">
        <v>8</v>
      </c>
      <c r="B5">
        <v>26</v>
      </c>
      <c r="C5">
        <v>16</v>
      </c>
      <c r="D5">
        <v>14</v>
      </c>
      <c r="E5">
        <v>7</v>
      </c>
      <c r="F5" s="1">
        <f>SUM(exercices_1[[#This Row],[Medecine Generale]:[Ostheopathie]])</f>
        <v>63</v>
      </c>
      <c r="G5" s="1">
        <f>AVERAGE(exercices_1[[#This Row],[Medecine Generale]:[Total]])</f>
        <v>25.2</v>
      </c>
      <c r="H5" s="3"/>
    </row>
    <row r="6" spans="1:8" x14ac:dyDescent="0.25">
      <c r="A6" t="s">
        <v>9</v>
      </c>
      <c r="B6">
        <v>20</v>
      </c>
      <c r="C6">
        <v>10</v>
      </c>
      <c r="D6">
        <v>15</v>
      </c>
      <c r="E6">
        <v>9</v>
      </c>
      <c r="F6" s="1">
        <f>SUM(exercices_1[[#This Row],[Medecine Generale]:[Ostheopathie]])</f>
        <v>54</v>
      </c>
      <c r="G6" s="1">
        <f>AVERAGE(exercices_1[[#This Row],[Medecine Generale]:[Total]])</f>
        <v>21.6</v>
      </c>
      <c r="H6" s="3"/>
    </row>
    <row r="7" spans="1:8" x14ac:dyDescent="0.25">
      <c r="A7" t="s">
        <v>10</v>
      </c>
      <c r="B7">
        <v>12</v>
      </c>
      <c r="C7">
        <v>0</v>
      </c>
      <c r="D7">
        <v>8</v>
      </c>
      <c r="E7">
        <v>4</v>
      </c>
      <c r="F7" s="1">
        <f>SUM(exercices_1[[#This Row],[Medecine Generale]:[Ostheopathie]])</f>
        <v>24</v>
      </c>
      <c r="G7" s="1">
        <f>AVERAGE(exercices_1[[#This Row],[Medecine Generale]:[Total]])</f>
        <v>9.6</v>
      </c>
      <c r="H7" s="3"/>
    </row>
    <row r="8" spans="1:8" x14ac:dyDescent="0.25">
      <c r="A8" t="s">
        <v>11</v>
      </c>
      <c r="B8">
        <v>0</v>
      </c>
      <c r="C8">
        <v>0</v>
      </c>
      <c r="D8">
        <v>0</v>
      </c>
      <c r="E8">
        <v>0</v>
      </c>
      <c r="F8" s="1">
        <f>SUM(exercices_1[[#This Row],[Medecine Generale]:[Ostheopathie]])</f>
        <v>0</v>
      </c>
      <c r="G8" s="1">
        <f>AVERAGE(exercices_1[[#This Row],[Medecine Generale]:[Total]])</f>
        <v>0</v>
      </c>
      <c r="H8" s="3"/>
    </row>
    <row r="9" spans="1:8" x14ac:dyDescent="0.25">
      <c r="B9">
        <f>SUBTOTAL(109,exercices_1[Medecine Generale])</f>
        <v>122</v>
      </c>
      <c r="C9">
        <f>SUBTOTAL(109,exercices_1[Dentiste])</f>
        <v>67</v>
      </c>
      <c r="D9">
        <f>SUBTOTAL(109,exercices_1[Kinesitherapie])</f>
        <v>91</v>
      </c>
      <c r="E9">
        <f>SUBTOTAL(109,exercices_1[Ostheopathie])</f>
        <v>44</v>
      </c>
      <c r="F9" s="1">
        <f>SUM(exercices_1[[#Totals],[Medecine Generale]:[Ostheopathie]])</f>
        <v>324</v>
      </c>
      <c r="G9" s="2">
        <f>AVERAGE(exercices_1[Moyenne])</f>
        <v>18.514285714285712</v>
      </c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ht="21" x14ac:dyDescent="0.35">
      <c r="A11" s="3"/>
      <c r="B11" s="4" t="str">
        <f>IF(exercices_1[[#Totals],[Total]]&gt;150,"Objectif atteint","A améliorer")</f>
        <v>Objectif atteint</v>
      </c>
      <c r="C11" s="5"/>
      <c r="D11" s="5"/>
      <c r="E11" s="5"/>
      <c r="F11" s="6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</sheetData>
  <mergeCells count="1">
    <mergeCell ref="B11:F1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8E1006-F50E-432B-A75E-7F70003CFE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exercices_1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</dc:creator>
  <cp:lastModifiedBy>Fernando SANCHEZ</cp:lastModifiedBy>
  <dcterms:created xsi:type="dcterms:W3CDTF">2015-06-05T18:19:34Z</dcterms:created>
  <dcterms:modified xsi:type="dcterms:W3CDTF">2026-03-10T16:44:02Z</dcterms:modified>
</cp:coreProperties>
</file>