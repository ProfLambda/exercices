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o\Desktop\hackathon_word_excel\public\data\exercices\excel\09\"/>
    </mc:Choice>
  </mc:AlternateContent>
  <xr:revisionPtr revIDLastSave="0" documentId="13_ncr:1_{744D0D70-231E-49DE-A5ED-DBAEC44696BD}" xr6:coauthVersionLast="47" xr6:coauthVersionMax="47" xr10:uidLastSave="{00000000-0000-0000-0000-000000000000}"/>
  <bookViews>
    <workbookView xWindow="16275" yWindow="1950" windowWidth="17040" windowHeight="17055" xr2:uid="{489B6033-BA30-4DC3-9F14-39D70F36CCEE}"/>
  </bookViews>
  <sheets>
    <sheet name="exercices_9" sheetId="4" r:id="rId1"/>
    <sheet name="tuto" sheetId="1" r:id="rId2"/>
  </sheets>
  <definedNames>
    <definedName name="DonnéesExternes_1" localSheetId="0" hidden="1">exercices_9!$A$1:$F$21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F2" i="4"/>
  <c r="B2" i="1"/>
  <c r="C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A343F0-3091-483C-A8C0-5E54A719757C}" keepAlive="1" name="Requête - exercices_9" description="Connexion à la requête « exercices_9 » dans le classeur." type="5" refreshedVersion="8" background="1" saveData="1">
    <dbPr connection="Provider=Microsoft.Mashup.OleDb.1;Data Source=$Workbook$;Location=exercices_9;Extended Properties=&quot;&quot;" command="SELECT * FROM [exercices_9]"/>
  </connection>
</connections>
</file>

<file path=xl/sharedStrings.xml><?xml version="1.0" encoding="utf-8"?>
<sst xmlns="http://schemas.openxmlformats.org/spreadsheetml/2006/main" count="52" uniqueCount="49">
  <si>
    <t>début</t>
  </si>
  <si>
    <t>fin</t>
  </si>
  <si>
    <t>ancienneté</t>
  </si>
  <si>
    <t>https://support.microsoft.com/fr-fr/office/calculer-la-diff%C3%A9rence-entre-deux-dates-8235e7c9-b430-44ca-9425-46100a162f38</t>
  </si>
  <si>
    <t>ID</t>
  </si>
  <si>
    <t>Nom</t>
  </si>
  <si>
    <t>Rossi</t>
  </si>
  <si>
    <t>Müller</t>
  </si>
  <si>
    <t>García</t>
  </si>
  <si>
    <t>Novak</t>
  </si>
  <si>
    <t>Silva</t>
  </si>
  <si>
    <t>Kowalski</t>
  </si>
  <si>
    <t>Jensen</t>
  </si>
  <si>
    <t>Dubois</t>
  </si>
  <si>
    <t>Ionescu</t>
  </si>
  <si>
    <t>Svensson</t>
  </si>
  <si>
    <t>Schmidt</t>
  </si>
  <si>
    <t>Popescu</t>
  </si>
  <si>
    <t>Fernandes</t>
  </si>
  <si>
    <t>Horváth</t>
  </si>
  <si>
    <t>Petrović</t>
  </si>
  <si>
    <t>Andersen</t>
  </si>
  <si>
    <t>Bianchi</t>
  </si>
  <si>
    <t>Dimitrov</t>
  </si>
  <si>
    <t>O’Connor</t>
  </si>
  <si>
    <t>Costa</t>
  </si>
  <si>
    <t>en mois</t>
  </si>
  <si>
    <t>en année</t>
  </si>
  <si>
    <t>Prénom</t>
  </si>
  <si>
    <t>Luca</t>
  </si>
  <si>
    <t>Anna</t>
  </si>
  <si>
    <t>Carlos</t>
  </si>
  <si>
    <t>Petra</t>
  </si>
  <si>
    <t>Inês</t>
  </si>
  <si>
    <t>Marek</t>
  </si>
  <si>
    <t>Sofie</t>
  </si>
  <si>
    <t>Claire</t>
  </si>
  <si>
    <t>Andrei</t>
  </si>
  <si>
    <t>Elsa</t>
  </si>
  <si>
    <t>Jonas</t>
  </si>
  <si>
    <t>Elena</t>
  </si>
  <si>
    <t>Tiago</t>
  </si>
  <si>
    <t>Eszter</t>
  </si>
  <si>
    <t>Nikola</t>
  </si>
  <si>
    <t>Freja</t>
  </si>
  <si>
    <t>Giulia</t>
  </si>
  <si>
    <t>Ivan</t>
  </si>
  <si>
    <t>Sean</t>
  </si>
  <si>
    <t>Marta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</si>
</sst>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0" xfId="1"/>
    <xf numFmtId="0" fontId="0" fillId="3" borderId="0" xfId="0" applyFill="1" applyAlignment="1">
      <alignment horizontal="center" vertical="center"/>
    </xf>
  </cellXfs>
  <cellStyles count="2">
    <cellStyle name="Lien hypertexte" xfId="1" builtinId="8"/>
    <cellStyle name="Normal" xfId="0" builtinId="0"/>
  </cellStyles>
  <dxfs count="10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2</xdr:row>
      <xdr:rowOff>142876</xdr:rowOff>
    </xdr:from>
    <xdr:to>
      <xdr:col>7</xdr:col>
      <xdr:colOff>95250</xdr:colOff>
      <xdr:row>5</xdr:row>
      <xdr:rowOff>47626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2AC16FA4-AD62-B045-1C7C-97953E55A5D9}"/>
            </a:ext>
          </a:extLst>
        </xdr:cNvPr>
        <xdr:cNvSpPr/>
      </xdr:nvSpPr>
      <xdr:spPr>
        <a:xfrm>
          <a:off x="447675" y="523876"/>
          <a:ext cx="6210300" cy="4762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=DATEDIF(A2;B2;"y")&amp;" an(s) et "&amp;DATEDIF(A2;B2;"ym")&amp;" mois"</a:t>
          </a:r>
        </a:p>
      </xdr:txBody>
    </xdr:sp>
    <xdr:clientData/>
  </xdr:twoCellAnchor>
  <xdr:twoCellAnchor>
    <xdr:from>
      <xdr:col>2</xdr:col>
      <xdr:colOff>1304925</xdr:colOff>
      <xdr:row>1</xdr:row>
      <xdr:rowOff>95250</xdr:rowOff>
    </xdr:from>
    <xdr:to>
      <xdr:col>3</xdr:col>
      <xdr:colOff>38100</xdr:colOff>
      <xdr:row>2</xdr:row>
      <xdr:rowOff>142876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DDC262C8-3916-7A2C-634E-14E04CEEFCDA}"/>
            </a:ext>
          </a:extLst>
        </xdr:cNvPr>
        <xdr:cNvCxnSpPr>
          <a:stCxn id="2" idx="0"/>
        </xdr:cNvCxnSpPr>
      </xdr:nvCxnSpPr>
      <xdr:spPr>
        <a:xfrm flipH="1" flipV="1">
          <a:off x="3438525" y="285750"/>
          <a:ext cx="114300" cy="23812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B50AA908-54BC-4536-BD67-2D509FAABFE9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ID" tableColumnId="1"/>
      <queryTableField id="2" name="Prénom" tableColumnId="2"/>
      <queryTableField id="3" name="Nom" tableColumnId="3"/>
      <queryTableField id="4" name="début" tableColumnId="4"/>
      <queryTableField id="5" name="fin" tableColumnId="5"/>
      <queryTableField id="6" name="ancienneté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D2B17F-858F-4F32-B6A9-1C3FBB556A58}" name="exercices_9" displayName="exercices_9" ref="A1:H21" tableType="queryTable" totalsRowShown="0" headerRowDxfId="9" dataDxfId="8">
  <autoFilter ref="A1:H21" xr:uid="{27D2B17F-858F-4F32-B6A9-1C3FBB556A58}"/>
  <tableColumns count="8">
    <tableColumn id="1" xr3:uid="{23D9F690-8960-4203-ABFF-8B059DE93E95}" uniqueName="1" name="ID" queryTableFieldId="1" dataDxfId="7"/>
    <tableColumn id="2" xr3:uid="{64347072-AFCC-40FB-9332-3693CF2EBB12}" uniqueName="2" name="Prénom" queryTableFieldId="2" dataDxfId="6"/>
    <tableColumn id="3" xr3:uid="{C5CEC31E-FCA8-41CE-A9E9-5023CFAFE74E}" uniqueName="3" name="Nom" queryTableFieldId="3" dataDxfId="5"/>
    <tableColumn id="4" xr3:uid="{A58B0A34-FE2B-48C9-A7D3-DA9DDC49E5EF}" uniqueName="4" name="début" queryTableFieldId="4" dataDxfId="4"/>
    <tableColumn id="5" xr3:uid="{A0F0A952-F010-4566-B21B-75D92AC4677D}" uniqueName="5" name="fin" queryTableFieldId="5" dataDxfId="3"/>
    <tableColumn id="6" xr3:uid="{8D2D46AB-4A3E-4E5A-BA21-6C5A91E3B0D1}" uniqueName="6" name="ancienneté" queryTableFieldId="6" dataDxfId="2"/>
    <tableColumn id="7" xr3:uid="{DC307D79-ECB5-4E50-A609-18FE3AF72FE9}" uniqueName="7" name="en mois" queryTableFieldId="7" dataDxfId="1">
      <calculatedColumnFormula>DATEDIF(D2,E2,"m")</calculatedColumnFormula>
    </tableColumn>
    <tableColumn id="8" xr3:uid="{D9AE4AD0-812F-4BB9-92F4-1AEC2767F1BC}" uniqueName="8" name="en année" queryTableFieldId="8" dataDxfId="0">
      <calculatedColumnFormula>DATEDIF(D2,E2,"y")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upport.microsoft.com/fr-fr/office/calculer-la-diff%C3%A9rence-entre-deux-dates-8235e7c9-b430-44ca-9425-46100a162f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C6EA6-A710-4B7C-9621-FFA90FAC695C}">
  <dimension ref="A1:H21"/>
  <sheetViews>
    <sheetView tabSelected="1" workbookViewId="0">
      <selection activeCell="D25" sqref="D25"/>
    </sheetView>
  </sheetViews>
  <sheetFormatPr baseColWidth="10" defaultRowHeight="15" x14ac:dyDescent="0.25"/>
  <cols>
    <col min="1" max="1" width="8.7109375" style="2" customWidth="1"/>
    <col min="2" max="3" width="10.28515625" style="2" bestFit="1" customWidth="1"/>
    <col min="4" max="5" width="10.42578125" style="2" bestFit="1" customWidth="1"/>
    <col min="6" max="6" width="29.5703125" style="2" customWidth="1"/>
    <col min="7" max="7" width="14.42578125" style="2" customWidth="1"/>
    <col min="8" max="8" width="14.85546875" style="2" customWidth="1"/>
  </cols>
  <sheetData>
    <row r="1" spans="1:8" x14ac:dyDescent="0.25">
      <c r="A1" s="2" t="s">
        <v>4</v>
      </c>
      <c r="B1" s="2" t="s">
        <v>28</v>
      </c>
      <c r="C1" s="2" t="s">
        <v>5</v>
      </c>
      <c r="D1" s="2" t="s">
        <v>0</v>
      </c>
      <c r="E1" s="2" t="s">
        <v>1</v>
      </c>
      <c r="F1" s="7" t="s">
        <v>2</v>
      </c>
      <c r="G1" s="7" t="s">
        <v>26</v>
      </c>
      <c r="H1" s="7" t="s">
        <v>27</v>
      </c>
    </row>
    <row r="2" spans="1:8" x14ac:dyDescent="0.25">
      <c r="A2" s="2">
        <v>1</v>
      </c>
      <c r="B2" s="2" t="s">
        <v>29</v>
      </c>
      <c r="C2" s="2" t="s">
        <v>6</v>
      </c>
      <c r="D2" s="1">
        <v>40113</v>
      </c>
      <c r="E2" s="1">
        <v>46091</v>
      </c>
      <c r="F2" s="2" t="str">
        <f>DATEDIF(D2,E2,"y")&amp;" an(s) et "&amp;DATEDIF(D2,E2,"ym")&amp;" mois"</f>
        <v>16 an(s) et 4 mois</v>
      </c>
      <c r="G2" s="2">
        <f t="shared" ref="G2:G21" si="0">DATEDIF(D2,E2,"m")</f>
        <v>196</v>
      </c>
      <c r="H2" s="2">
        <f t="shared" ref="H2:H21" si="1">DATEDIF(D2,E2,"y")</f>
        <v>16</v>
      </c>
    </row>
    <row r="3" spans="1:8" x14ac:dyDescent="0.25">
      <c r="A3" s="2">
        <v>2</v>
      </c>
      <c r="B3" s="2" t="s">
        <v>30</v>
      </c>
      <c r="C3" s="2" t="s">
        <v>7</v>
      </c>
      <c r="D3" s="1">
        <v>40923</v>
      </c>
      <c r="E3" s="1">
        <v>45495</v>
      </c>
      <c r="F3" s="2" t="str">
        <f t="shared" ref="F3:F21" si="2">DATEDIF(D3,E3,"y")&amp;" an(s) et "&amp;DATEDIF(D3,E3,"ym")&amp;" mois"</f>
        <v>12 an(s) et 6 mois</v>
      </c>
      <c r="G3" s="2">
        <f t="shared" si="0"/>
        <v>150</v>
      </c>
      <c r="H3" s="2">
        <f t="shared" si="1"/>
        <v>12</v>
      </c>
    </row>
    <row r="4" spans="1:8" x14ac:dyDescent="0.25">
      <c r="A4" s="2">
        <v>3</v>
      </c>
      <c r="B4" s="2" t="s">
        <v>31</v>
      </c>
      <c r="C4" s="2" t="s">
        <v>8</v>
      </c>
      <c r="D4" s="1">
        <v>43346</v>
      </c>
      <c r="E4" s="1">
        <v>45702</v>
      </c>
      <c r="F4" s="2" t="str">
        <f t="shared" si="2"/>
        <v>6 an(s) et 5 mois</v>
      </c>
      <c r="G4" s="2">
        <f t="shared" si="0"/>
        <v>77</v>
      </c>
      <c r="H4" s="2">
        <f t="shared" si="1"/>
        <v>6</v>
      </c>
    </row>
    <row r="5" spans="1:8" x14ac:dyDescent="0.25">
      <c r="A5" s="2">
        <v>4</v>
      </c>
      <c r="B5" s="2" t="s">
        <v>32</v>
      </c>
      <c r="C5" s="2" t="s">
        <v>9</v>
      </c>
      <c r="D5" s="1">
        <v>40330</v>
      </c>
      <c r="E5" s="1">
        <v>43983</v>
      </c>
      <c r="F5" s="2" t="str">
        <f t="shared" si="2"/>
        <v>10 an(s) et 0 mois</v>
      </c>
      <c r="G5" s="2">
        <f t="shared" si="0"/>
        <v>120</v>
      </c>
      <c r="H5" s="2">
        <f t="shared" si="1"/>
        <v>10</v>
      </c>
    </row>
    <row r="6" spans="1:8" x14ac:dyDescent="0.25">
      <c r="A6" s="2">
        <v>5</v>
      </c>
      <c r="B6" s="2" t="s">
        <v>33</v>
      </c>
      <c r="C6" s="2" t="s">
        <v>10</v>
      </c>
      <c r="D6" s="1">
        <v>42693</v>
      </c>
      <c r="E6" s="1">
        <v>45285</v>
      </c>
      <c r="F6" s="2" t="str">
        <f t="shared" si="2"/>
        <v>7 an(s) et 1 mois</v>
      </c>
      <c r="G6" s="2">
        <f t="shared" si="0"/>
        <v>85</v>
      </c>
      <c r="H6" s="2">
        <f t="shared" si="1"/>
        <v>7</v>
      </c>
    </row>
    <row r="7" spans="1:8" x14ac:dyDescent="0.25">
      <c r="A7" s="2">
        <v>6</v>
      </c>
      <c r="B7" s="2" t="s">
        <v>34</v>
      </c>
      <c r="C7" s="2" t="s">
        <v>11</v>
      </c>
      <c r="D7" s="1">
        <v>41737</v>
      </c>
      <c r="E7" s="1">
        <v>44834</v>
      </c>
      <c r="F7" s="2" t="str">
        <f t="shared" si="2"/>
        <v>8 an(s) et 5 mois</v>
      </c>
      <c r="G7" s="2">
        <f t="shared" si="0"/>
        <v>101</v>
      </c>
      <c r="H7" s="2">
        <f t="shared" si="1"/>
        <v>8</v>
      </c>
    </row>
    <row r="8" spans="1:8" x14ac:dyDescent="0.25">
      <c r="A8" s="2">
        <v>7</v>
      </c>
      <c r="B8" s="2" t="s">
        <v>35</v>
      </c>
      <c r="C8" s="2" t="s">
        <v>12</v>
      </c>
      <c r="D8" s="1">
        <v>43873</v>
      </c>
      <c r="E8" s="1">
        <v>45795</v>
      </c>
      <c r="F8" s="2" t="str">
        <f t="shared" si="2"/>
        <v>5 an(s) et 3 mois</v>
      </c>
      <c r="G8" s="2">
        <f t="shared" si="0"/>
        <v>63</v>
      </c>
      <c r="H8" s="2">
        <f t="shared" si="1"/>
        <v>5</v>
      </c>
    </row>
    <row r="9" spans="1:8" x14ac:dyDescent="0.25">
      <c r="A9" s="2">
        <v>8</v>
      </c>
      <c r="B9" s="2" t="s">
        <v>36</v>
      </c>
      <c r="C9" s="2" t="s">
        <v>13</v>
      </c>
      <c r="D9" s="1">
        <v>42937</v>
      </c>
      <c r="E9" s="1">
        <v>45296</v>
      </c>
      <c r="F9" s="2" t="str">
        <f t="shared" si="2"/>
        <v>6 an(s) et 5 mois</v>
      </c>
      <c r="G9" s="2">
        <f t="shared" si="0"/>
        <v>77</v>
      </c>
      <c r="H9" s="2">
        <f t="shared" si="1"/>
        <v>6</v>
      </c>
    </row>
    <row r="10" spans="1:8" x14ac:dyDescent="0.25">
      <c r="A10" s="2">
        <v>9</v>
      </c>
      <c r="B10" s="2" t="s">
        <v>37</v>
      </c>
      <c r="C10" s="2" t="s">
        <v>14</v>
      </c>
      <c r="D10" s="1">
        <v>40632</v>
      </c>
      <c r="E10" s="1">
        <v>44419</v>
      </c>
      <c r="F10" s="2" t="str">
        <f t="shared" si="2"/>
        <v>10 an(s) et 4 mois</v>
      </c>
      <c r="G10" s="2">
        <f t="shared" si="0"/>
        <v>124</v>
      </c>
      <c r="H10" s="2">
        <f t="shared" si="1"/>
        <v>10</v>
      </c>
    </row>
    <row r="11" spans="1:8" x14ac:dyDescent="0.25">
      <c r="A11" s="2">
        <v>10</v>
      </c>
      <c r="B11" s="2" t="s">
        <v>38</v>
      </c>
      <c r="C11" s="2" t="s">
        <v>15</v>
      </c>
      <c r="D11" s="1">
        <v>43804</v>
      </c>
      <c r="E11" s="1">
        <v>46129</v>
      </c>
      <c r="F11" s="2" t="str">
        <f t="shared" si="2"/>
        <v>6 an(s) et 4 mois</v>
      </c>
      <c r="G11" s="2">
        <f t="shared" si="0"/>
        <v>76</v>
      </c>
      <c r="H11" s="2">
        <f t="shared" si="1"/>
        <v>6</v>
      </c>
    </row>
    <row r="12" spans="1:8" x14ac:dyDescent="0.25">
      <c r="A12" s="2">
        <v>11</v>
      </c>
      <c r="B12" s="2" t="s">
        <v>39</v>
      </c>
      <c r="C12" s="2" t="s">
        <v>16</v>
      </c>
      <c r="D12" s="1">
        <v>39674</v>
      </c>
      <c r="E12" s="1">
        <v>43740</v>
      </c>
      <c r="F12" s="2" t="str">
        <f t="shared" si="2"/>
        <v>11 an(s) et 1 mois</v>
      </c>
      <c r="G12" s="2">
        <f t="shared" si="0"/>
        <v>133</v>
      </c>
      <c r="H12" s="2">
        <f t="shared" si="1"/>
        <v>11</v>
      </c>
    </row>
    <row r="13" spans="1:8" x14ac:dyDescent="0.25">
      <c r="A13" s="2">
        <v>12</v>
      </c>
      <c r="B13" s="2" t="s">
        <v>40</v>
      </c>
      <c r="C13" s="2" t="s">
        <v>17</v>
      </c>
      <c r="D13" s="1">
        <v>42013</v>
      </c>
      <c r="E13" s="1">
        <v>45756</v>
      </c>
      <c r="F13" s="2" t="str">
        <f t="shared" si="2"/>
        <v>10 an(s) et 3 mois</v>
      </c>
      <c r="G13" s="2">
        <f t="shared" si="0"/>
        <v>123</v>
      </c>
      <c r="H13" s="2">
        <f t="shared" si="1"/>
        <v>10</v>
      </c>
    </row>
    <row r="14" spans="1:8" x14ac:dyDescent="0.25">
      <c r="A14" s="2">
        <v>13</v>
      </c>
      <c r="B14" s="2" t="s">
        <v>41</v>
      </c>
      <c r="C14" s="2" t="s">
        <v>18</v>
      </c>
      <c r="D14" s="1">
        <v>41419</v>
      </c>
      <c r="E14" s="1">
        <v>44136</v>
      </c>
      <c r="F14" s="2" t="str">
        <f t="shared" si="2"/>
        <v>7 an(s) et 5 mois</v>
      </c>
      <c r="G14" s="2">
        <f t="shared" si="0"/>
        <v>89</v>
      </c>
      <c r="H14" s="2">
        <f t="shared" si="1"/>
        <v>7</v>
      </c>
    </row>
    <row r="15" spans="1:8" x14ac:dyDescent="0.25">
      <c r="A15" s="2">
        <v>14</v>
      </c>
      <c r="B15" s="2" t="s">
        <v>42</v>
      </c>
      <c r="C15" s="2" t="s">
        <v>19</v>
      </c>
      <c r="D15" s="1">
        <v>44456</v>
      </c>
      <c r="E15" s="1">
        <v>46081</v>
      </c>
      <c r="F15" s="2" t="str">
        <f t="shared" si="2"/>
        <v>4 an(s) et 5 mois</v>
      </c>
      <c r="G15" s="2">
        <f t="shared" si="0"/>
        <v>53</v>
      </c>
      <c r="H15" s="2">
        <f t="shared" si="1"/>
        <v>4</v>
      </c>
    </row>
    <row r="16" spans="1:8" x14ac:dyDescent="0.25">
      <c r="A16" s="2">
        <v>15</v>
      </c>
      <c r="B16" s="2" t="s">
        <v>43</v>
      </c>
      <c r="C16" s="2" t="s">
        <v>20</v>
      </c>
      <c r="D16" s="1">
        <v>40493</v>
      </c>
      <c r="E16" s="1">
        <v>43270</v>
      </c>
      <c r="F16" s="2" t="str">
        <f t="shared" si="2"/>
        <v>7 an(s) et 7 mois</v>
      </c>
      <c r="G16" s="2">
        <f t="shared" si="0"/>
        <v>91</v>
      </c>
      <c r="H16" s="2">
        <f t="shared" si="1"/>
        <v>7</v>
      </c>
    </row>
    <row r="17" spans="1:8" x14ac:dyDescent="0.25">
      <c r="A17" s="2">
        <v>16</v>
      </c>
      <c r="B17" s="2" t="s">
        <v>44</v>
      </c>
      <c r="C17" s="2" t="s">
        <v>21</v>
      </c>
      <c r="D17" s="1">
        <v>42527</v>
      </c>
      <c r="E17" s="1">
        <v>45638</v>
      </c>
      <c r="F17" s="2" t="str">
        <f t="shared" si="2"/>
        <v>8 an(s) et 6 mois</v>
      </c>
      <c r="G17" s="2">
        <f t="shared" si="0"/>
        <v>102</v>
      </c>
      <c r="H17" s="2">
        <f t="shared" si="1"/>
        <v>8</v>
      </c>
    </row>
    <row r="18" spans="1:8" x14ac:dyDescent="0.25">
      <c r="A18" s="2">
        <v>17</v>
      </c>
      <c r="B18" s="2" t="s">
        <v>45</v>
      </c>
      <c r="C18" s="2" t="s">
        <v>22</v>
      </c>
      <c r="D18" s="1">
        <v>43154</v>
      </c>
      <c r="E18" s="1">
        <v>45192</v>
      </c>
      <c r="F18" s="2" t="str">
        <f t="shared" si="2"/>
        <v>5 an(s) et 7 mois</v>
      </c>
      <c r="G18" s="2">
        <f t="shared" si="0"/>
        <v>67</v>
      </c>
      <c r="H18" s="2">
        <f t="shared" si="1"/>
        <v>5</v>
      </c>
    </row>
    <row r="19" spans="1:8" x14ac:dyDescent="0.25">
      <c r="A19" s="2">
        <v>18</v>
      </c>
      <c r="B19" s="2" t="s">
        <v>46</v>
      </c>
      <c r="C19" s="2" t="s">
        <v>23</v>
      </c>
      <c r="D19" s="1">
        <v>39083</v>
      </c>
      <c r="E19" s="1">
        <v>42870</v>
      </c>
      <c r="F19" s="2" t="str">
        <f t="shared" si="2"/>
        <v>10 an(s) et 4 mois</v>
      </c>
      <c r="G19" s="2">
        <f t="shared" si="0"/>
        <v>124</v>
      </c>
      <c r="H19" s="2">
        <f t="shared" si="1"/>
        <v>10</v>
      </c>
    </row>
    <row r="20" spans="1:8" x14ac:dyDescent="0.25">
      <c r="A20" s="2">
        <v>19</v>
      </c>
      <c r="B20" s="2" t="s">
        <v>47</v>
      </c>
      <c r="C20" s="2" t="s">
        <v>24</v>
      </c>
      <c r="D20" s="1">
        <v>44679</v>
      </c>
      <c r="E20" s="1">
        <v>45838</v>
      </c>
      <c r="F20" s="2" t="str">
        <f t="shared" si="2"/>
        <v>3 an(s) et 2 mois</v>
      </c>
      <c r="G20" s="2">
        <f t="shared" si="0"/>
        <v>38</v>
      </c>
      <c r="H20" s="2">
        <f t="shared" si="1"/>
        <v>3</v>
      </c>
    </row>
    <row r="21" spans="1:8" x14ac:dyDescent="0.25">
      <c r="A21" s="2">
        <v>20</v>
      </c>
      <c r="B21" s="2" t="s">
        <v>48</v>
      </c>
      <c r="C21" s="2" t="s">
        <v>25</v>
      </c>
      <c r="D21" s="1">
        <v>40832</v>
      </c>
      <c r="E21" s="1">
        <v>46043</v>
      </c>
      <c r="F21" s="2" t="str">
        <f t="shared" si="2"/>
        <v>14 an(s) et 3 mois</v>
      </c>
      <c r="G21" s="2">
        <f t="shared" si="0"/>
        <v>171</v>
      </c>
      <c r="H21" s="2">
        <f t="shared" si="1"/>
        <v>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47CBC-B1F0-41B7-9C30-864C0CA2D361}">
  <dimension ref="A1:I7"/>
  <sheetViews>
    <sheetView workbookViewId="0">
      <selection activeCell="C32" sqref="C32"/>
    </sheetView>
  </sheetViews>
  <sheetFormatPr baseColWidth="10" defaultRowHeight="15" x14ac:dyDescent="0.25"/>
  <cols>
    <col min="1" max="1" width="16.5703125" customWidth="1"/>
    <col min="2" max="2" width="15.42578125" customWidth="1"/>
    <col min="3" max="3" width="20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3"/>
      <c r="E1" s="3"/>
      <c r="F1" s="3"/>
      <c r="G1" s="3"/>
      <c r="H1" s="3"/>
      <c r="I1" s="3"/>
    </row>
    <row r="2" spans="1:9" x14ac:dyDescent="0.25">
      <c r="A2" s="5">
        <v>40113</v>
      </c>
      <c r="B2" s="5">
        <f ca="1">TODAY()</f>
        <v>46091</v>
      </c>
      <c r="C2" s="4" t="str">
        <f ca="1">DATEDIF(A2,B2,"y")&amp;" an(s) et "&amp;DATEDIF(A2,B2,"ym")&amp;" mois"</f>
        <v>16 an(s) et 4 mois</v>
      </c>
      <c r="D2" s="3"/>
      <c r="E2" s="3"/>
      <c r="F2" s="3"/>
      <c r="G2" s="3"/>
      <c r="H2" s="3"/>
      <c r="I2" s="3"/>
    </row>
    <row r="3" spans="1:9" x14ac:dyDescent="0.25">
      <c r="A3" s="3"/>
      <c r="B3" s="3"/>
      <c r="C3" s="3"/>
      <c r="D3" s="3"/>
      <c r="E3" s="3"/>
      <c r="F3" s="3"/>
      <c r="G3" s="3"/>
      <c r="H3" s="3"/>
      <c r="I3" s="3"/>
    </row>
    <row r="4" spans="1:9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x14ac:dyDescent="0.25">
      <c r="A7" s="6" t="s">
        <v>3</v>
      </c>
    </row>
  </sheetData>
  <hyperlinks>
    <hyperlink ref="A7" r:id="rId1" xr:uid="{A130484B-69FB-450C-8863-40BFD6C20F20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D5A222-0AF2-4651-8F04-4447CA512A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exercices_9</vt:lpstr>
      <vt:lpstr>tuto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SANCHEZ</dc:creator>
  <cp:lastModifiedBy>Fernando SANCHEZ</cp:lastModifiedBy>
  <dcterms:created xsi:type="dcterms:W3CDTF">2026-03-10T09:08:51Z</dcterms:created>
  <dcterms:modified xsi:type="dcterms:W3CDTF">2026-03-10T10:50:11Z</dcterms:modified>
</cp:coreProperties>
</file>